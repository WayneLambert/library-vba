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yne Lambert\iCloudDrive\M6HJR9W95L~com~textasticapp~textastic\Microsoft Excel\Functions\"/>
    </mc:Choice>
  </mc:AlternateContent>
  <xr:revisionPtr revIDLastSave="0" documentId="8_{7F967573-2A0C-4906-A9FF-3C06FE8C5B37}" xr6:coauthVersionLast="36" xr6:coauthVersionMax="36" xr10:uidLastSave="{00000000-0000-0000-0000-000000000000}"/>
  <bookViews>
    <workbookView xWindow="0" yWindow="0" windowWidth="22260" windowHeight="12650" xr2:uid="{00000000-000D-0000-FFFF-FFFF00000000}"/>
  </bookViews>
  <sheets>
    <sheet name="Sheet1" sheetId="1" r:id="rId1"/>
  </sheets>
  <functionGroups builtInGroupCount="19"/>
  <definedNames>
    <definedName name="hcExcelMedian">Sheet1!$C$10</definedName>
    <definedName name="hcPercentileVBA">Sheet1!$C$16</definedName>
    <definedName name="hcVBA_Median">Sheet1!$C$11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0" i="1" l="1"/>
</calcChain>
</file>

<file path=xl/sharedStrings.xml><?xml version="1.0" encoding="utf-8"?>
<sst xmlns="http://schemas.openxmlformats.org/spreadsheetml/2006/main" count="19" uniqueCount="15">
  <si>
    <t>ID</t>
  </si>
  <si>
    <t>Element Desc</t>
  </si>
  <si>
    <t>Base Salary</t>
  </si>
  <si>
    <t>Merit</t>
  </si>
  <si>
    <t>Family</t>
  </si>
  <si>
    <t>House</t>
  </si>
  <si>
    <t xml:space="preserve"> Base Salary </t>
  </si>
  <si>
    <t xml:space="preserve"> Merit </t>
  </si>
  <si>
    <t xml:space="preserve"> Family </t>
  </si>
  <si>
    <t xml:space="preserve"> House </t>
  </si>
  <si>
    <t>No Matched</t>
  </si>
  <si>
    <t>Excel Median:</t>
  </si>
  <si>
    <t>VBA Median:</t>
  </si>
  <si>
    <t>Percentile VBA:</t>
  </si>
  <si>
    <t>Percentile Excel: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</si>
</sst>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">
    <xf numFmtId="0" fontId="0" fillId="0" borderId="0" xfId="0"/>
    <xf numFmtId="164" fontId="0" fillId="0" borderId="0" xfId="1" applyNumberFormat="1" applyFont="1"/>
  </cellXfs>
  <cellStyles count="2">
    <cellStyle name="Comma" xfId="1" builtinId="3"/>
    <cellStyle name="Normal" xfId="0" builtinId="0"/>
  </cellStyles>
  <dxfs count="8"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DC791E-B4F9-41A9-AFCE-6B654749D811}" name="tblControlTotalsFP" displayName="tblControlTotalsFP" ref="B3:C7" totalsRowShown="0">
  <autoFilter ref="B3:C7" xr:uid="{809C01D2-4457-4CE3-931D-E9F517D6CC47}"/>
  <tableColumns count="2">
    <tableColumn id="1" xr3:uid="{BEC9524B-F7A8-4755-AC21-51B46CF47E83}" name="Element Desc"/>
    <tableColumn id="2" xr3:uid="{A3777B37-F9F2-4DAE-8BE4-C975EB39E692}" name="No Matche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2CB986-B103-4929-9F05-AE8AAFBAD6C7}" name="tblFixedPay" displayName="tblFixedPay" ref="E3:M23" totalsRowShown="0">
  <autoFilter ref="E3:M23" xr:uid="{5BB6B3C6-B06A-4908-B23B-59B2F8393515}"/>
  <tableColumns count="9">
    <tableColumn id="1" xr3:uid="{536DFCE3-BD6B-4209-BF90-D2CFF08DBCCE}" name="ID"/>
    <tableColumn id="2" xr3:uid="{5211F0D9-963D-46D8-8245-1FC9A81DA91F}" name="Base Salary" dataDxfId="7" dataCellStyle="Comma"/>
    <tableColumn id="3" xr3:uid="{6FE2E7CC-0EE0-4476-A14D-C94C7F06AD2D}" name="Merit" dataDxfId="6" dataCellStyle="Comma"/>
    <tableColumn id="4" xr3:uid="{46CEED27-8A00-4155-92BE-D463D0BFD894}" name="Family" dataDxfId="5" dataCellStyle="Comma"/>
    <tableColumn id="5" xr3:uid="{6E90AB3A-C77F-4F4B-9342-14462B6F6217}" name="House" dataDxfId="4" dataCellStyle="Comma"/>
    <tableColumn id="6" xr3:uid="{58E4A50D-CDF2-4A23-B705-79353B820DF2}" name=" Base Salary " dataDxfId="3" dataCellStyle="Comma"/>
    <tableColumn id="7" xr3:uid="{EC25B530-4F76-4AAE-B07E-1DC49DA10F88}" name=" Merit " dataDxfId="2" dataCellStyle="Comma"/>
    <tableColumn id="8" xr3:uid="{29148531-89ED-4175-9FE7-3B4A644E7BCC}" name=" Family " dataDxfId="1" dataCellStyle="Comma"/>
    <tableColumn id="9" xr3:uid="{24485C13-DC06-415A-835B-307D78DF4233}" name=" House " dataDxfId="0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nControlTotals"/>
  <dimension ref="B3:M23"/>
  <sheetViews>
    <sheetView tabSelected="1" workbookViewId="0">
      <selection activeCell="B3" sqref="B3"/>
    </sheetView>
  </sheetViews>
  <sheetFormatPr defaultRowHeight="14.5" x14ac:dyDescent="0.35"/>
  <cols>
    <col min="2" max="2" width="15.1796875" customWidth="1"/>
    <col min="3" max="3" width="16" customWidth="1"/>
    <col min="6" max="6" width="13" customWidth="1"/>
    <col min="7" max="9" width="13.7265625" bestFit="1" customWidth="1"/>
    <col min="10" max="10" width="13.81640625" customWidth="1"/>
    <col min="11" max="11" width="13.7265625" bestFit="1" customWidth="1"/>
    <col min="12" max="12" width="9.81640625" customWidth="1"/>
    <col min="13" max="13" width="9.54296875" customWidth="1"/>
  </cols>
  <sheetData>
    <row r="3" spans="2:13" x14ac:dyDescent="0.35">
      <c r="B3" t="s">
        <v>1</v>
      </c>
      <c r="C3" t="s">
        <v>10</v>
      </c>
      <c r="E3" t="s">
        <v>0</v>
      </c>
      <c r="F3" t="s">
        <v>2</v>
      </c>
      <c r="G3" t="s">
        <v>3</v>
      </c>
      <c r="H3" t="s">
        <v>4</v>
      </c>
      <c r="I3" t="s">
        <v>5</v>
      </c>
      <c r="J3" t="s">
        <v>6</v>
      </c>
      <c r="K3" t="s">
        <v>7</v>
      </c>
      <c r="L3" t="s">
        <v>8</v>
      </c>
      <c r="M3" t="s">
        <v>9</v>
      </c>
    </row>
    <row r="4" spans="2:13" x14ac:dyDescent="0.35">
      <c r="B4" t="s">
        <v>2</v>
      </c>
      <c r="C4">
        <v>18</v>
      </c>
      <c r="E4">
        <v>1000001</v>
      </c>
      <c r="F4" s="1">
        <v>193802</v>
      </c>
      <c r="G4" s="1">
        <v>164949</v>
      </c>
      <c r="H4" s="1">
        <v>135513</v>
      </c>
      <c r="I4" s="1">
        <v>287148</v>
      </c>
      <c r="J4" s="1">
        <v>193802</v>
      </c>
      <c r="K4" s="1">
        <v>164949</v>
      </c>
      <c r="L4" s="1">
        <v>135513</v>
      </c>
      <c r="M4" s="1">
        <v>287148</v>
      </c>
    </row>
    <row r="5" spans="2:13" x14ac:dyDescent="0.35">
      <c r="B5" t="s">
        <v>3</v>
      </c>
      <c r="C5">
        <v>19</v>
      </c>
      <c r="E5">
        <v>1000002</v>
      </c>
      <c r="F5" s="1">
        <v>296575</v>
      </c>
      <c r="G5" s="1">
        <v>201276</v>
      </c>
      <c r="H5" s="1">
        <v>119306</v>
      </c>
      <c r="I5" s="1">
        <v>296405</v>
      </c>
      <c r="J5" s="1">
        <v>296575</v>
      </c>
      <c r="K5" s="1">
        <v>201276</v>
      </c>
      <c r="L5" s="1">
        <v>119306</v>
      </c>
      <c r="M5" s="1">
        <v>296405</v>
      </c>
    </row>
    <row r="6" spans="2:13" x14ac:dyDescent="0.35">
      <c r="B6" t="s">
        <v>4</v>
      </c>
      <c r="C6">
        <v>16</v>
      </c>
      <c r="E6">
        <v>1000003</v>
      </c>
      <c r="F6" s="1">
        <v>194464</v>
      </c>
      <c r="G6" s="1">
        <v>103522</v>
      </c>
      <c r="H6" s="1">
        <v>123570</v>
      </c>
      <c r="I6" s="1">
        <v>184941</v>
      </c>
      <c r="J6" s="1">
        <v>194464</v>
      </c>
      <c r="K6" s="1">
        <v>103522</v>
      </c>
      <c r="L6" s="1"/>
      <c r="M6" s="1">
        <v>184941</v>
      </c>
    </row>
    <row r="7" spans="2:13" x14ac:dyDescent="0.35">
      <c r="B7" t="s">
        <v>5</v>
      </c>
      <c r="C7">
        <v>18</v>
      </c>
      <c r="E7">
        <v>1000004</v>
      </c>
      <c r="F7" s="1">
        <v>181189</v>
      </c>
      <c r="G7" s="1">
        <v>259893</v>
      </c>
      <c r="H7" s="1">
        <v>96000</v>
      </c>
      <c r="I7" s="1">
        <v>210953</v>
      </c>
      <c r="J7" s="1">
        <v>181189</v>
      </c>
      <c r="K7" s="1">
        <v>259893</v>
      </c>
      <c r="L7" s="1">
        <v>112875</v>
      </c>
      <c r="M7" s="1">
        <v>210953</v>
      </c>
    </row>
    <row r="8" spans="2:13" x14ac:dyDescent="0.35">
      <c r="E8">
        <v>1000005</v>
      </c>
      <c r="F8" s="1">
        <v>231622</v>
      </c>
      <c r="G8" s="1">
        <v>107707</v>
      </c>
      <c r="H8" s="1">
        <v>294584</v>
      </c>
      <c r="I8" s="1">
        <v>246974</v>
      </c>
      <c r="J8" s="1"/>
      <c r="K8" s="1">
        <v>107707</v>
      </c>
      <c r="L8" s="1">
        <v>247716</v>
      </c>
      <c r="M8" s="1">
        <v>246974</v>
      </c>
    </row>
    <row r="9" spans="2:13" x14ac:dyDescent="0.35">
      <c r="E9">
        <v>1000006</v>
      </c>
      <c r="F9" s="1">
        <v>121688</v>
      </c>
      <c r="G9" s="1">
        <v>215785</v>
      </c>
      <c r="H9" s="1">
        <v>216063</v>
      </c>
      <c r="I9" s="1">
        <v>131777</v>
      </c>
      <c r="J9" s="1">
        <v>121688</v>
      </c>
      <c r="K9" s="1">
        <v>215785</v>
      </c>
      <c r="L9" s="1">
        <v>216063</v>
      </c>
      <c r="M9" s="1">
        <v>131777</v>
      </c>
    </row>
    <row r="10" spans="2:13" x14ac:dyDescent="0.35">
      <c r="B10" t="s">
        <v>11</v>
      </c>
      <c r="C10">
        <f>MEDIAN(tblControlTotalsFP[No Matched])</f>
        <v>18</v>
      </c>
      <c r="E10">
        <v>1000007</v>
      </c>
      <c r="F10" s="1">
        <v>182395</v>
      </c>
      <c r="G10" s="1">
        <v>125957</v>
      </c>
      <c r="H10" s="1">
        <v>257348</v>
      </c>
      <c r="I10" s="1">
        <v>168288</v>
      </c>
      <c r="J10" s="1">
        <v>182395</v>
      </c>
      <c r="K10" s="1">
        <v>247716</v>
      </c>
      <c r="L10" s="1">
        <v>257348</v>
      </c>
      <c r="M10" s="1">
        <v>168288</v>
      </c>
    </row>
    <row r="11" spans="2:13" x14ac:dyDescent="0.35">
      <c r="B11" t="s">
        <v>12</v>
      </c>
      <c r="C11">
        <v>18</v>
      </c>
      <c r="E11">
        <v>1000008</v>
      </c>
      <c r="F11" s="1">
        <v>142847</v>
      </c>
      <c r="G11" s="1">
        <v>192358</v>
      </c>
      <c r="H11" s="1">
        <v>297917</v>
      </c>
      <c r="I11" s="1">
        <v>277864</v>
      </c>
      <c r="J11" s="1">
        <v>142847</v>
      </c>
      <c r="K11" s="1">
        <v>192358</v>
      </c>
      <c r="L11" s="1">
        <v>297917</v>
      </c>
      <c r="M11" s="1">
        <v>247716</v>
      </c>
    </row>
    <row r="12" spans="2:13" x14ac:dyDescent="0.35">
      <c r="E12">
        <v>1000009</v>
      </c>
      <c r="F12" s="1">
        <v>172655</v>
      </c>
      <c r="G12" s="1">
        <v>184722</v>
      </c>
      <c r="H12" s="1">
        <v>103203</v>
      </c>
      <c r="I12" s="1">
        <v>243198</v>
      </c>
      <c r="J12" s="1">
        <v>172655</v>
      </c>
      <c r="K12" s="1">
        <v>184722</v>
      </c>
      <c r="L12" s="1"/>
      <c r="M12" s="1">
        <v>243198</v>
      </c>
    </row>
    <row r="13" spans="2:13" x14ac:dyDescent="0.35">
      <c r="B13">
        <v>10</v>
      </c>
      <c r="E13">
        <v>1000010</v>
      </c>
      <c r="F13" s="1">
        <v>150811</v>
      </c>
      <c r="G13" s="1">
        <v>187180</v>
      </c>
      <c r="H13" s="1">
        <v>259225</v>
      </c>
      <c r="I13" s="1">
        <v>272644</v>
      </c>
      <c r="J13" s="1">
        <v>150811</v>
      </c>
      <c r="K13" s="1">
        <v>187180</v>
      </c>
      <c r="L13" s="1">
        <v>259225</v>
      </c>
      <c r="M13" s="1">
        <v>272644</v>
      </c>
    </row>
    <row r="14" spans="2:13" x14ac:dyDescent="0.35">
      <c r="E14">
        <v>1000011</v>
      </c>
      <c r="F14" s="1">
        <v>198645</v>
      </c>
      <c r="G14" s="1">
        <v>247630</v>
      </c>
      <c r="H14" s="1">
        <v>132997</v>
      </c>
      <c r="I14" s="1">
        <v>119603</v>
      </c>
      <c r="J14" s="1">
        <v>198645</v>
      </c>
      <c r="K14" s="1">
        <v>247630</v>
      </c>
      <c r="L14" s="1">
        <v>132997</v>
      </c>
      <c r="M14" s="1">
        <v>119603</v>
      </c>
    </row>
    <row r="15" spans="2:13" x14ac:dyDescent="0.35">
      <c r="B15" t="s">
        <v>14</v>
      </c>
      <c r="E15">
        <v>1000012</v>
      </c>
      <c r="F15" s="1">
        <v>105352</v>
      </c>
      <c r="G15" s="1">
        <v>240434</v>
      </c>
      <c r="H15" s="1">
        <v>173440</v>
      </c>
      <c r="I15" s="1">
        <v>185721</v>
      </c>
      <c r="J15" s="1">
        <v>105352</v>
      </c>
      <c r="K15" s="1">
        <v>240434</v>
      </c>
      <c r="L15" s="1">
        <v>173440</v>
      </c>
      <c r="M15" s="1">
        <v>185721</v>
      </c>
    </row>
    <row r="16" spans="2:13" x14ac:dyDescent="0.35">
      <c r="B16" t="s">
        <v>13</v>
      </c>
      <c r="C16">
        <v>179982</v>
      </c>
      <c r="E16">
        <v>1000013</v>
      </c>
      <c r="F16" s="1">
        <v>113000</v>
      </c>
      <c r="G16" s="1">
        <v>113731</v>
      </c>
      <c r="H16" s="1">
        <v>147434</v>
      </c>
      <c r="I16" s="1">
        <v>205416</v>
      </c>
      <c r="J16" s="1"/>
      <c r="K16" s="1">
        <v>113731</v>
      </c>
      <c r="L16" s="1">
        <v>147434</v>
      </c>
      <c r="M16" s="1">
        <v>205416</v>
      </c>
    </row>
    <row r="17" spans="5:13" x14ac:dyDescent="0.35">
      <c r="E17">
        <v>1000014</v>
      </c>
      <c r="F17" s="1">
        <v>166328</v>
      </c>
      <c r="G17" s="1">
        <v>171480</v>
      </c>
      <c r="H17" s="1">
        <v>278525</v>
      </c>
      <c r="I17" s="1">
        <v>116551</v>
      </c>
      <c r="J17" s="1">
        <v>166328</v>
      </c>
      <c r="K17" s="1">
        <v>171480</v>
      </c>
      <c r="L17" s="1">
        <v>278525</v>
      </c>
      <c r="M17" s="1">
        <v>116551</v>
      </c>
    </row>
    <row r="18" spans="5:13" x14ac:dyDescent="0.35">
      <c r="E18">
        <v>1000015</v>
      </c>
      <c r="F18" s="1">
        <v>178775</v>
      </c>
      <c r="G18" s="1">
        <v>208996</v>
      </c>
      <c r="H18" s="1">
        <v>191900</v>
      </c>
      <c r="I18" s="1">
        <v>179207</v>
      </c>
      <c r="J18" s="1">
        <v>178775</v>
      </c>
      <c r="K18" s="1">
        <v>208996</v>
      </c>
      <c r="L18" s="1">
        <v>191900</v>
      </c>
      <c r="M18" s="1">
        <v>179207</v>
      </c>
    </row>
    <row r="19" spans="5:13" x14ac:dyDescent="0.35">
      <c r="E19">
        <v>1000016</v>
      </c>
      <c r="F19" s="1">
        <v>262558</v>
      </c>
      <c r="G19" s="1">
        <v>293000</v>
      </c>
      <c r="H19" s="1">
        <v>226467</v>
      </c>
      <c r="I19" s="1">
        <v>233208</v>
      </c>
      <c r="J19" s="1">
        <v>262558</v>
      </c>
      <c r="K19" s="1">
        <v>293000</v>
      </c>
      <c r="L19" s="1">
        <v>226467</v>
      </c>
      <c r="M19" s="1">
        <v>233208</v>
      </c>
    </row>
    <row r="20" spans="5:13" x14ac:dyDescent="0.35">
      <c r="E20">
        <v>1000017</v>
      </c>
      <c r="F20" s="1">
        <v>107871</v>
      </c>
      <c r="G20" s="1">
        <v>261003</v>
      </c>
      <c r="H20" s="1">
        <v>179368</v>
      </c>
      <c r="I20" s="1">
        <v>119196</v>
      </c>
      <c r="J20" s="1">
        <v>107871</v>
      </c>
      <c r="K20" s="1">
        <v>261003</v>
      </c>
      <c r="L20" s="1">
        <v>179368</v>
      </c>
      <c r="M20" s="1">
        <v>119196</v>
      </c>
    </row>
    <row r="21" spans="5:13" x14ac:dyDescent="0.35">
      <c r="E21">
        <v>1000018</v>
      </c>
      <c r="F21" s="1">
        <v>213350</v>
      </c>
      <c r="G21" s="1">
        <v>247716</v>
      </c>
      <c r="H21" s="1">
        <v>245883</v>
      </c>
      <c r="I21" s="1">
        <v>297220</v>
      </c>
      <c r="J21" s="1">
        <v>213350</v>
      </c>
      <c r="K21" s="1">
        <v>247716</v>
      </c>
      <c r="L21" s="1">
        <v>245883</v>
      </c>
      <c r="M21" s="1">
        <v>247716</v>
      </c>
    </row>
    <row r="22" spans="5:13" x14ac:dyDescent="0.35">
      <c r="E22">
        <v>1000019</v>
      </c>
      <c r="F22" s="1">
        <v>205625</v>
      </c>
      <c r="G22" s="1">
        <v>288803</v>
      </c>
      <c r="H22" s="1">
        <v>245742</v>
      </c>
      <c r="I22" s="1">
        <v>107838</v>
      </c>
      <c r="J22" s="1">
        <v>205625</v>
      </c>
      <c r="K22" s="1">
        <v>288803</v>
      </c>
      <c r="L22" s="1">
        <v>245742</v>
      </c>
      <c r="M22" s="1">
        <v>107838</v>
      </c>
    </row>
    <row r="23" spans="5:13" x14ac:dyDescent="0.35">
      <c r="E23">
        <v>1000020</v>
      </c>
      <c r="F23" s="1">
        <v>119013</v>
      </c>
      <c r="G23" s="1">
        <v>245748</v>
      </c>
      <c r="H23" s="1">
        <v>127694</v>
      </c>
      <c r="I23" s="1">
        <v>110141</v>
      </c>
      <c r="J23" s="1">
        <v>119013</v>
      </c>
      <c r="K23" s="1">
        <v>245748</v>
      </c>
      <c r="L23" s="1">
        <v>127694</v>
      </c>
      <c r="M23" s="1">
        <v>110141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hcExcelMedian</vt:lpstr>
      <vt:lpstr>hcPercentileVBA</vt:lpstr>
      <vt:lpstr>hcVBA_Median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Wayne Lambert</dc:creator>
  <cp:lastModifiedBy>Wayne Lambert</cp:lastModifiedBy>
  <dcterms:created xsi:type="dcterms:W3CDTF">2015-06-05T18:17:20Z</dcterms:created>
  <dcterms:modified xsi:type="dcterms:W3CDTF">2018-10-03T22:02:23Z</dcterms:modified>
</cp:coreProperties>
</file>